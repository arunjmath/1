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rvind\Desktop\MapUp-DA-Assessment-2024-main\submissions\"/>
    </mc:Choice>
  </mc:AlternateContent>
  <xr:revisionPtr revIDLastSave="0" documentId="13_ncr:1_{F92DA787-4934-460C-AB12-2017AAACFDFE}" xr6:coauthVersionLast="47" xr6:coauthVersionMax="47" xr10:uidLastSave="{00000000-0000-0000-0000-000000000000}"/>
  <bookViews>
    <workbookView xWindow="-110" yWindow="-110" windowWidth="19420" windowHeight="1030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ame">Dataset!$A$1:$W$86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B30" i="18"/>
  <c r="B29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8" i="18"/>
  <c r="C7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5" i="20"/>
  <c r="AD22" i="1"/>
  <c r="C24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</calcChain>
</file>

<file path=xl/sharedStrings.xml><?xml version="1.0" encoding="utf-8"?>
<sst xmlns="http://schemas.openxmlformats.org/spreadsheetml/2006/main" count="441" uniqueCount="187">
  <si>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</si>
  <si>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</si>
  <si>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</si>
  <si>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</si>
  <si>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</si>
  <si>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</si>
  <si>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</si>
  <si>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</si>
  <si>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</si>
  <si>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</si>
  <si>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</si>
  <si>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</si>
  <si>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</si>
  <si>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</si>
  <si>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</si>
  <si>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</si>
  <si>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</si>
  <si>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</si>
  <si>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</si>
  <si>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</si>
  <si>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</si>
  <si>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</si>
  <si>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</si>
  <si>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</si>
  <si>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</si>
  <si>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</si>
  <si>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</si>
  <si>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</si>
  <si>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</si>
  <si>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</si>
  <si>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</si>
  <si>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</si>
  <si>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</si>
  <si>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</si>
  <si>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</si>
  <si>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</si>
  <si>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</si>
  <si>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</si>
  <si>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</si>
  <si>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</si>
  <si>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</si>
  <si>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</si>
  <si>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</si>
  <si>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</si>
  <si>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</si>
  <si>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</si>
  <si>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</si>
  <si>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</si>
  <si>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</si>
  <si>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</si>
  <si>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</si>
  <si>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</si>
  <si>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</si>
  <si>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</si>
  <si>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</si>
  <si>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</si>
  <si>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</si>
  <si>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</si>
  <si>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</si>
  <si>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</si>
  <si>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</si>
  <si>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</si>
  <si>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</si>
  <si>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</si>
  <si>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</si>
  <si>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</si>
  <si>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</si>
  <si>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</si>
  <si>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</si>
  <si>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</si>
  <si>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</si>
  <si>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</si>
  <si>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</si>
  <si>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</si>
  <si>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</si>
  <si>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</si>
  <si>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</si>
  <si>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</si>
  <si>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</si>
  <si>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</si>
  <si>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</si>
  <si>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</si>
  <si>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</si>
  <si>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</si>
  <si>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</si>
  <si>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</si>
  <si>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</si>
  <si>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</si>
  <si>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</si>
  <si>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</si>
  <si>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</si>
  <si>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</si>
  <si>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</si>
  <si>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</si>
  <si>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</si>
  <si>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</si>
  <si>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</si>
  <si>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</si>
  <si>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</si>
  <si>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</si>
  <si>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</si>
  <si>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</si>
  <si>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</si>
  <si>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</si>
  <si>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</si>
  <si>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</si>
  <si>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</si>
  <si>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</si>
  <si>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</si>
  <si>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</si>
  <si>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</si>
  <si>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</si>
  <si>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</si>
  <si>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</si>
  <si>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</si>
  <si>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</si>
  <si>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</si>
  <si>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</si>
  <si>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</si>
  <si>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</si>
  <si>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</si>
  <si>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</si>
  <si>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</si>
  <si>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</si>
  <si>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</si>
  <si>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</si>
  <si>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</si>
  <si>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</si>
  <si>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</si>
  <si>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</si>
  <si>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</si>
  <si>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</si>
  <si>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</si>
  <si>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</si>
  <si>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</si>
  <si>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</si>
  <si>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</si>
  <si>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</si>
  <si>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</si>
  <si>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</si>
  <si>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</si>
  <si>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</si>
  <si>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</si>
  <si>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</si>
  <si>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</si>
  <si>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</si>
  <si>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</si>
  <si>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</si>
  <si>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</si>
  <si>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</si>
  <si>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</si>
  <si>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</si>
  <si>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</si>
  <si>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</si>
  <si>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</si>
  <si>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</si>
  <si>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</si>
  <si>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</si>
  <si>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</si>
  <si>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</si>
  <si>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</si>
  <si>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</si>
  <si>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</si>
  <si>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</si>
  <si>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</si>
  <si>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</si>
  <si>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</si>
  <si>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</si>
  <si>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</si>
  <si>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</si>
  <si>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</si>
  <si>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</si>
  <si>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</si>
  <si>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</si>
  <si>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</si>
  <si>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</si>
  <si>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</si>
  <si>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</si>
  <si>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IF(H2&gt;20,TRUE,FALSE)</t>
  </si>
  <si>
    <t xml:space="preserve"> "</t>
  </si>
  <si>
    <t xml:space="preserve">I have used the Flash Fill functionality (Ctrl + E) to automatically split the values in Table_A into distinct cells </t>
  </si>
  <si>
    <t>First, I copied the values from Table_A and pasted them into Column 1 of a new table.</t>
  </si>
  <si>
    <t>In Column 2, I manually entered the expected output for the first value (based on how the data should be split) to guide Excel.</t>
  </si>
  <si>
    <t>I selected the second cell in Column 2 and pressed Ctrl + E, triggering Flash Fill. Excel recognized the pattern and automatically split the remaining values based on the format I had defined in the first cell.</t>
  </si>
  <si>
    <t>(=SUM(IFNA(A2:A10, 20))</t>
  </si>
  <si>
    <t>IFNA Function: The IFNA function checks each value in the range A2:A10 to see if it is an #N/A error. If an #N/A is found, it substitutes the value with 20.</t>
  </si>
  <si>
    <t>(SUM Function: After replacing #N/A values with 20, the SUM function calculates the total of all the values in the specified range.This formula ensures that all #N/A values are treated as 20, and then it calculates the sum of the sales, taking into account this substitution.)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</si>
</sst>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yyyy/mm/dd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8" fillId="0" borderId="0" xfId="0" applyFont="1" applyFill="1"/>
    <xf numFmtId="0" fontId="19" fillId="0" borderId="0" xfId="0" applyFont="1" applyFill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9"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46"/>
  <sheetViews>
    <sheetView tabSelected="1" topLeftCell="O1" zoomScaleNormal="100" workbookViewId="0">
      <pane ySplit="1" topLeftCell="A28" activePane="bottomLeft" state="frozen"/>
      <selection pane="bottomLeft" activeCell="I13" sqref="I13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7" bestFit="1" customWidth="1"/>
    <col min="25" max="16384" width="9" style="1"/>
  </cols>
  <sheetData>
    <row r="1" spans="1:26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6" t="s">
        <v>106</v>
      </c>
    </row>
    <row r="2" spans="1:26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44">
        <v>-1</v>
      </c>
      <c r="K2" s="44">
        <v>-1</v>
      </c>
      <c r="L2" s="44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  <c r="Z2" s="1" t="b">
        <f>IF(H2&gt;20,TRUE,FALSE)</f>
        <v>0</v>
      </c>
    </row>
    <row r="3" spans="1:26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44">
        <v>-1</v>
      </c>
      <c r="K3" s="44">
        <v>-1</v>
      </c>
      <c r="L3" s="44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  <c r="Z3" s="1" t="b">
        <f t="shared" ref="Z3:Z40" si="0">IF(H3&gt;20,TRUE,FALSE)</f>
        <v>0</v>
      </c>
    </row>
    <row r="4" spans="1:26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44">
        <v>-1</v>
      </c>
      <c r="K4" s="44">
        <v>-1</v>
      </c>
      <c r="L4" s="44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  <c r="Z4" s="1" t="b">
        <f t="shared" si="0"/>
        <v>0</v>
      </c>
    </row>
    <row r="5" spans="1:26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44">
        <v>-1</v>
      </c>
      <c r="K5" s="44">
        <v>-1</v>
      </c>
      <c r="L5" s="44">
        <v>-1</v>
      </c>
      <c r="M5" s="45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  <c r="Z5" s="1" t="b">
        <f t="shared" si="0"/>
        <v>0</v>
      </c>
    </row>
    <row r="6" spans="1:26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44">
        <v>-1</v>
      </c>
      <c r="K6" s="44">
        <v>-1</v>
      </c>
      <c r="L6" s="44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  <c r="Z6" s="1" t="b">
        <f t="shared" si="0"/>
        <v>0</v>
      </c>
    </row>
    <row r="7" spans="1:26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45">
        <v>10.4</v>
      </c>
      <c r="I7" s="1">
        <v>12.8</v>
      </c>
      <c r="J7" s="44">
        <v>-1</v>
      </c>
      <c r="K7" s="44">
        <v>-1</v>
      </c>
      <c r="L7" s="44">
        <v>-1</v>
      </c>
      <c r="M7" s="1">
        <v>14.4</v>
      </c>
      <c r="N7" s="1">
        <v>21.5</v>
      </c>
      <c r="O7" s="1">
        <v>26.1</v>
      </c>
      <c r="P7" s="1">
        <v>7.1</v>
      </c>
      <c r="Q7" s="45">
        <v>10.4</v>
      </c>
      <c r="R7" s="1">
        <v>12.8</v>
      </c>
      <c r="S7" s="1">
        <v>21.5</v>
      </c>
      <c r="T7" s="1">
        <v>26.1</v>
      </c>
      <c r="U7" s="45">
        <v>10.4</v>
      </c>
      <c r="V7" s="1">
        <v>12.8</v>
      </c>
      <c r="W7" s="1">
        <v>12.8</v>
      </c>
      <c r="X7" s="47">
        <v>45057</v>
      </c>
      <c r="Z7" s="1" t="b">
        <f t="shared" si="0"/>
        <v>0</v>
      </c>
    </row>
    <row r="8" spans="1:26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44">
        <v>-1</v>
      </c>
      <c r="K8" s="44">
        <v>-1</v>
      </c>
      <c r="L8" s="44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  <c r="Z8" s="1" t="b">
        <f t="shared" si="0"/>
        <v>0</v>
      </c>
    </row>
    <row r="9" spans="1:26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44">
        <v>-1</v>
      </c>
      <c r="K9" s="44">
        <v>-1</v>
      </c>
      <c r="L9" s="44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  <c r="Z9" s="1" t="b">
        <f t="shared" si="0"/>
        <v>0</v>
      </c>
    </row>
    <row r="10" spans="1:26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44">
        <v>-1</v>
      </c>
      <c r="K10" s="44">
        <v>-1</v>
      </c>
      <c r="L10" s="44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  <c r="Z10" s="1" t="b">
        <f t="shared" si="0"/>
        <v>1</v>
      </c>
    </row>
    <row r="11" spans="1:26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44">
        <v>-1</v>
      </c>
      <c r="K11" s="44">
        <v>-1</v>
      </c>
      <c r="L11" s="44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  <c r="Z11" s="1" t="b">
        <f t="shared" si="0"/>
        <v>1</v>
      </c>
    </row>
    <row r="12" spans="1:26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7">
        <v>45116</v>
      </c>
      <c r="Z12" s="1" t="b">
        <f t="shared" si="0"/>
        <v>0</v>
      </c>
    </row>
    <row r="13" spans="1:26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45">
        <v>40.1</v>
      </c>
      <c r="J13" s="44">
        <v>-1</v>
      </c>
      <c r="K13" s="44">
        <v>-1</v>
      </c>
      <c r="L13" s="44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45">
        <v>40.1</v>
      </c>
      <c r="S13" s="1">
        <v>61.5</v>
      </c>
      <c r="T13" s="1">
        <v>76.599999999999994</v>
      </c>
      <c r="U13" s="1">
        <v>32.1</v>
      </c>
      <c r="V13" s="45">
        <v>40.1</v>
      </c>
      <c r="W13" s="45">
        <v>40.1</v>
      </c>
      <c r="X13" s="47">
        <v>45110</v>
      </c>
      <c r="Z13" s="1" t="b">
        <f t="shared" si="0"/>
        <v>1</v>
      </c>
    </row>
    <row r="14" spans="1:26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44">
        <v>-1</v>
      </c>
      <c r="K14" s="44">
        <v>-1</v>
      </c>
      <c r="L14" s="44">
        <v>-1</v>
      </c>
      <c r="M14" s="1">
        <v>47.7</v>
      </c>
      <c r="N14" s="45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45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  <c r="Z14" s="1" t="b">
        <f t="shared" si="0"/>
        <v>1</v>
      </c>
    </row>
    <row r="15" spans="1:26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44">
        <v>-1</v>
      </c>
      <c r="K15" s="44">
        <v>-1</v>
      </c>
      <c r="L15" s="44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  <c r="Z15" s="1" t="b">
        <f t="shared" si="0"/>
        <v>1</v>
      </c>
    </row>
    <row r="16" spans="1:26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45">
        <v>50.1</v>
      </c>
      <c r="J16" s="44">
        <v>-1</v>
      </c>
      <c r="K16" s="44">
        <v>-1</v>
      </c>
      <c r="L16" s="44">
        <v>-1</v>
      </c>
      <c r="M16" s="1">
        <v>56.7</v>
      </c>
      <c r="N16" s="1">
        <v>83.2</v>
      </c>
      <c r="O16" s="45">
        <v>101.3</v>
      </c>
      <c r="P16" s="1">
        <v>28</v>
      </c>
      <c r="Q16" s="1">
        <v>41</v>
      </c>
      <c r="R16" s="45">
        <v>50.1</v>
      </c>
      <c r="S16" s="1">
        <v>83.2</v>
      </c>
      <c r="T16" s="45">
        <v>101.3</v>
      </c>
      <c r="U16" s="1">
        <v>41</v>
      </c>
      <c r="V16" s="45">
        <v>50.1</v>
      </c>
      <c r="W16" s="45">
        <v>50.1</v>
      </c>
      <c r="X16" s="47">
        <v>45063</v>
      </c>
      <c r="Z16" s="1" t="b">
        <f t="shared" si="0"/>
        <v>1</v>
      </c>
    </row>
    <row r="17" spans="1:3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44">
        <v>-1</v>
      </c>
      <c r="K17" s="44">
        <v>-1</v>
      </c>
      <c r="L17" s="44">
        <v>-1</v>
      </c>
      <c r="M17" s="1">
        <v>58.3</v>
      </c>
      <c r="N17" s="1">
        <v>85.4</v>
      </c>
      <c r="O17" s="45">
        <v>106.1</v>
      </c>
      <c r="P17" s="1">
        <v>28.5</v>
      </c>
      <c r="Q17" s="1">
        <v>42.3</v>
      </c>
      <c r="R17" s="1">
        <v>52.3</v>
      </c>
      <c r="S17" s="1">
        <v>85.4</v>
      </c>
      <c r="T17" s="45">
        <v>106.1</v>
      </c>
      <c r="U17" s="1">
        <v>42.3</v>
      </c>
      <c r="V17" s="1">
        <v>52.3</v>
      </c>
      <c r="W17" s="1">
        <v>52.3</v>
      </c>
      <c r="X17" s="47">
        <v>45071</v>
      </c>
      <c r="Z17" s="1" t="b">
        <f t="shared" si="0"/>
        <v>1</v>
      </c>
    </row>
    <row r="18" spans="1:3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44">
        <v>-1</v>
      </c>
      <c r="K18" s="44">
        <v>-1</v>
      </c>
      <c r="L18" s="44">
        <v>-1</v>
      </c>
      <c r="M18" s="1">
        <v>59</v>
      </c>
      <c r="N18" s="1">
        <v>87.6</v>
      </c>
      <c r="O18" s="45">
        <v>108.8</v>
      </c>
      <c r="P18" s="1">
        <v>29.1</v>
      </c>
      <c r="Q18" s="1">
        <v>43.3</v>
      </c>
      <c r="R18" s="1">
        <v>53.7</v>
      </c>
      <c r="S18" s="1">
        <v>87.6</v>
      </c>
      <c r="T18" s="45">
        <v>108.8</v>
      </c>
      <c r="U18" s="1">
        <v>43.3</v>
      </c>
      <c r="V18" s="1">
        <v>53.7</v>
      </c>
      <c r="W18" s="1">
        <v>53.7</v>
      </c>
      <c r="X18" s="47">
        <v>45085</v>
      </c>
      <c r="Z18" s="1" t="b">
        <f t="shared" si="0"/>
        <v>1</v>
      </c>
    </row>
    <row r="19" spans="1:3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45">
        <v>30.7</v>
      </c>
      <c r="H19" s="1">
        <v>45.5</v>
      </c>
      <c r="I19" s="1">
        <v>57</v>
      </c>
      <c r="J19" s="44">
        <v>-1</v>
      </c>
      <c r="K19" s="44">
        <v>-1</v>
      </c>
      <c r="L19" s="44">
        <v>-1</v>
      </c>
      <c r="M19" s="1">
        <v>62.5</v>
      </c>
      <c r="N19" s="1">
        <v>92.1</v>
      </c>
      <c r="O19" s="1">
        <v>115.1</v>
      </c>
      <c r="P19" s="45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  <c r="Z19" s="1" t="b">
        <f t="shared" si="0"/>
        <v>1</v>
      </c>
    </row>
    <row r="20" spans="1:3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45">
        <v>50.1</v>
      </c>
      <c r="I20" s="1">
        <v>61.4</v>
      </c>
      <c r="J20" s="44">
        <v>-1</v>
      </c>
      <c r="K20" s="44">
        <v>-1</v>
      </c>
      <c r="L20" s="44">
        <v>-1</v>
      </c>
      <c r="M20" s="1">
        <v>67.900000000000006</v>
      </c>
      <c r="N20" s="45">
        <v>101.3</v>
      </c>
      <c r="O20" s="1">
        <v>124.4</v>
      </c>
      <c r="P20" s="1">
        <v>33.799999999999997</v>
      </c>
      <c r="Q20" s="45">
        <v>50.1</v>
      </c>
      <c r="R20" s="1">
        <v>61.4</v>
      </c>
      <c r="S20" s="45">
        <v>101.3</v>
      </c>
      <c r="T20" s="1">
        <v>124.4</v>
      </c>
      <c r="U20" s="45">
        <v>50.1</v>
      </c>
      <c r="V20" s="1">
        <v>61.4</v>
      </c>
      <c r="W20" s="1">
        <v>61.4</v>
      </c>
      <c r="X20" s="47">
        <v>45091</v>
      </c>
      <c r="Z20" s="1" t="b">
        <f t="shared" si="0"/>
        <v>1</v>
      </c>
    </row>
    <row r="21" spans="1:3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44">
        <v>-1</v>
      </c>
      <c r="K21" s="44">
        <v>-1</v>
      </c>
      <c r="L21" s="44">
        <v>-1</v>
      </c>
      <c r="M21" s="45">
        <v>70.8</v>
      </c>
      <c r="N21" s="45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45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  <c r="Z21" s="1" t="b">
        <f t="shared" si="0"/>
        <v>1</v>
      </c>
      <c r="AC21" s="19" t="s">
        <v>64</v>
      </c>
      <c r="AD21" s="20" t="s">
        <v>79</v>
      </c>
      <c r="AE21" s="21" t="s">
        <v>71</v>
      </c>
      <c r="AF21" s="20" t="s">
        <v>75</v>
      </c>
      <c r="AG21" s="21" t="s">
        <v>76</v>
      </c>
      <c r="AH21" s="22" t="s">
        <v>77</v>
      </c>
    </row>
    <row r="22" spans="1:3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44">
        <v>-1</v>
      </c>
      <c r="K22" s="44">
        <v>-1</v>
      </c>
      <c r="L22" s="44">
        <v>-1</v>
      </c>
      <c r="M22" s="1">
        <v>73.900000000000006</v>
      </c>
      <c r="N22" s="45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45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  <c r="Z22" s="1" t="b">
        <f t="shared" si="0"/>
        <v>1</v>
      </c>
      <c r="AC22" s="7" t="s">
        <v>40</v>
      </c>
      <c r="AD22" s="11" t="e">
        <f>HLOOKUP(AC22,Dataset!AC37:AC56,1,FALSE)</f>
        <v>#N/A</v>
      </c>
      <c r="AE22" s="11"/>
      <c r="AF22" s="11"/>
      <c r="AG22" s="11"/>
      <c r="AH22" s="8"/>
    </row>
    <row r="23" spans="1:3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44">
        <v>-1</v>
      </c>
      <c r="K23" s="44">
        <v>-1</v>
      </c>
      <c r="L23" s="44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  <c r="Z23" s="1" t="b">
        <f t="shared" si="0"/>
        <v>1</v>
      </c>
      <c r="AC23" s="7" t="s">
        <v>4</v>
      </c>
      <c r="AD23" s="11"/>
      <c r="AE23" s="11"/>
      <c r="AF23" s="11"/>
      <c r="AG23" s="11"/>
      <c r="AH23" s="8"/>
    </row>
    <row r="24" spans="1:3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45">
        <v>70.400000000000006</v>
      </c>
      <c r="J24" s="44">
        <v>-1</v>
      </c>
      <c r="K24" s="44">
        <v>-1</v>
      </c>
      <c r="L24" s="44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45">
        <v>70.400000000000006</v>
      </c>
      <c r="S24" s="1">
        <v>119.4</v>
      </c>
      <c r="T24" s="1">
        <v>142.5</v>
      </c>
      <c r="U24" s="1">
        <v>59.2</v>
      </c>
      <c r="V24" s="45">
        <v>70.400000000000006</v>
      </c>
      <c r="W24" s="45">
        <v>70.400000000000006</v>
      </c>
      <c r="X24" s="47">
        <v>45114</v>
      </c>
      <c r="Z24" s="1" t="b">
        <f t="shared" si="0"/>
        <v>1</v>
      </c>
      <c r="AC24" s="7" t="s">
        <v>7</v>
      </c>
      <c r="AD24" s="11"/>
      <c r="AE24" s="11"/>
      <c r="AF24" s="11"/>
      <c r="AG24" s="11"/>
      <c r="AH24" s="8"/>
    </row>
    <row r="25" spans="1:3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45">
        <v>40.1</v>
      </c>
      <c r="H25" s="1">
        <v>59.2</v>
      </c>
      <c r="I25" s="1">
        <v>72.8</v>
      </c>
      <c r="J25" s="44">
        <v>-1</v>
      </c>
      <c r="K25" s="44">
        <v>-1</v>
      </c>
      <c r="L25" s="44">
        <v>-1</v>
      </c>
      <c r="M25" s="45">
        <v>80.8</v>
      </c>
      <c r="N25" s="1">
        <v>119.4</v>
      </c>
      <c r="O25" s="1">
        <v>146.80000000000001</v>
      </c>
      <c r="P25" s="45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  <c r="Z25" s="1" t="b">
        <f t="shared" si="0"/>
        <v>1</v>
      </c>
      <c r="AC25" s="7" t="s">
        <v>8</v>
      </c>
      <c r="AD25" s="11"/>
      <c r="AE25" s="11"/>
      <c r="AF25" s="11"/>
      <c r="AG25" s="11"/>
      <c r="AH25" s="8"/>
    </row>
    <row r="26" spans="1:3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7">
        <v>45142</v>
      </c>
      <c r="Z26" s="1" t="b">
        <f t="shared" si="0"/>
        <v>0</v>
      </c>
      <c r="AC26" s="7" t="s">
        <v>11</v>
      </c>
      <c r="AD26" s="11"/>
      <c r="AE26" s="11"/>
      <c r="AF26" s="11"/>
      <c r="AG26" s="11"/>
      <c r="AH26" s="8"/>
    </row>
    <row r="27" spans="1:3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44">
        <v>-1</v>
      </c>
      <c r="K27" s="44">
        <v>-1</v>
      </c>
      <c r="L27" s="44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  <c r="Z27" s="1" t="b">
        <f t="shared" si="0"/>
        <v>1</v>
      </c>
      <c r="AC27" s="7" t="s">
        <v>12</v>
      </c>
      <c r="AD27" s="11"/>
      <c r="AE27" s="11"/>
      <c r="AF27" s="11"/>
      <c r="AG27" s="11"/>
      <c r="AH27" s="8"/>
    </row>
    <row r="28" spans="1:3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44">
        <v>-1</v>
      </c>
      <c r="K28" s="44">
        <v>-1</v>
      </c>
      <c r="L28" s="44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  <c r="Z28" s="1" t="b">
        <f t="shared" si="0"/>
        <v>1</v>
      </c>
      <c r="AC28" s="7" t="s">
        <v>14</v>
      </c>
      <c r="AD28" s="11"/>
      <c r="AE28" s="11"/>
      <c r="AF28" s="11"/>
      <c r="AG28" s="11"/>
      <c r="AH28" s="8"/>
    </row>
    <row r="29" spans="1:3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44">
        <v>-1</v>
      </c>
      <c r="K29" s="44">
        <v>-1</v>
      </c>
      <c r="L29" s="44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  <c r="Z29" s="1" t="b">
        <f t="shared" si="0"/>
        <v>1</v>
      </c>
      <c r="AC29" s="7" t="s">
        <v>15</v>
      </c>
      <c r="AD29" s="11"/>
      <c r="AE29" s="11"/>
      <c r="AF29" s="11"/>
      <c r="AG29" s="11"/>
      <c r="AH29" s="8"/>
    </row>
    <row r="30" spans="1:3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44">
        <v>-1</v>
      </c>
      <c r="H30" s="44">
        <v>-1</v>
      </c>
      <c r="I30" s="44">
        <v>-1</v>
      </c>
      <c r="J30" s="44">
        <v>-1</v>
      </c>
      <c r="K30" s="44">
        <v>-1</v>
      </c>
      <c r="L30" s="44">
        <v>-1</v>
      </c>
      <c r="M30" s="44">
        <v>-1</v>
      </c>
      <c r="N30" s="44">
        <v>-1</v>
      </c>
      <c r="O30" s="44">
        <v>-1</v>
      </c>
      <c r="P30" s="44">
        <v>-1</v>
      </c>
      <c r="Q30" s="44">
        <v>-1</v>
      </c>
      <c r="R30" s="44">
        <v>-1</v>
      </c>
      <c r="S30" s="44">
        <v>-1</v>
      </c>
      <c r="T30" s="44">
        <v>-1</v>
      </c>
      <c r="U30" s="44">
        <v>-1</v>
      </c>
      <c r="V30" s="44">
        <v>-1</v>
      </c>
      <c r="W30" s="44">
        <v>-1</v>
      </c>
      <c r="X30" s="47">
        <v>45150</v>
      </c>
      <c r="Z30" s="1" t="b">
        <f t="shared" si="0"/>
        <v>0</v>
      </c>
      <c r="AC30" s="7" t="s">
        <v>16</v>
      </c>
      <c r="AD30" s="11"/>
      <c r="AE30" s="11"/>
      <c r="AF30" s="11"/>
      <c r="AG30" s="11"/>
      <c r="AH30" s="8"/>
    </row>
    <row r="31" spans="1:3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44">
        <v>-1</v>
      </c>
      <c r="K31" s="44">
        <v>-1</v>
      </c>
      <c r="L31" s="44">
        <v>-1</v>
      </c>
      <c r="M31" s="45">
        <v>90.9</v>
      </c>
      <c r="N31" s="1">
        <v>133.4</v>
      </c>
      <c r="O31" s="45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45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  <c r="Z31" s="1" t="b">
        <f t="shared" si="0"/>
        <v>1</v>
      </c>
      <c r="AC31" s="7" t="s">
        <v>18</v>
      </c>
      <c r="AD31" s="11"/>
      <c r="AE31" s="11"/>
      <c r="AF31" s="11"/>
      <c r="AG31" s="11"/>
      <c r="AH31" s="8"/>
    </row>
    <row r="32" spans="1:3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44">
        <v>-1</v>
      </c>
      <c r="H32" s="44">
        <v>-1</v>
      </c>
      <c r="I32" s="44">
        <v>-1</v>
      </c>
      <c r="J32" s="44">
        <v>-1</v>
      </c>
      <c r="K32" s="44">
        <v>-1</v>
      </c>
      <c r="L32" s="44">
        <v>-1</v>
      </c>
      <c r="M32" s="44">
        <v>-1</v>
      </c>
      <c r="N32" s="44">
        <v>-1</v>
      </c>
      <c r="O32" s="44">
        <v>-1</v>
      </c>
      <c r="P32" s="44">
        <v>-1</v>
      </c>
      <c r="Q32" s="44">
        <v>-1</v>
      </c>
      <c r="R32" s="44">
        <v>-1</v>
      </c>
      <c r="S32" s="44">
        <v>-1</v>
      </c>
      <c r="T32" s="44">
        <v>-1</v>
      </c>
      <c r="U32" s="44">
        <v>-1</v>
      </c>
      <c r="V32" s="44">
        <v>-1</v>
      </c>
      <c r="W32" s="44">
        <v>-1</v>
      </c>
      <c r="X32" s="47">
        <v>45143</v>
      </c>
      <c r="Z32" s="1" t="b">
        <f t="shared" si="0"/>
        <v>0</v>
      </c>
      <c r="AC32" s="7" t="s">
        <v>20</v>
      </c>
      <c r="AD32" s="11"/>
      <c r="AE32" s="11"/>
      <c r="AF32" s="11"/>
      <c r="AG32" s="11"/>
      <c r="AH32" s="8"/>
    </row>
    <row r="33" spans="1:3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44">
        <v>-1</v>
      </c>
      <c r="K33" s="44">
        <v>-1</v>
      </c>
      <c r="L33" s="44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  <c r="Z33" s="1" t="b">
        <f t="shared" si="0"/>
        <v>1</v>
      </c>
      <c r="AC33" s="7" t="s">
        <v>22</v>
      </c>
      <c r="AD33" s="11"/>
      <c r="AE33" s="11"/>
      <c r="AF33" s="11"/>
      <c r="AG33" s="11"/>
      <c r="AH33" s="8"/>
    </row>
    <row r="34" spans="1:3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44">
        <v>-1</v>
      </c>
      <c r="K34" s="44">
        <v>-1</v>
      </c>
      <c r="L34" s="44">
        <v>-1</v>
      </c>
      <c r="M34" s="1">
        <v>87.6</v>
      </c>
      <c r="N34" s="1">
        <v>128.6</v>
      </c>
      <c r="O34" s="45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45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  <c r="Z34" s="1" t="b">
        <f t="shared" si="0"/>
        <v>1</v>
      </c>
      <c r="AC34" s="7" t="s">
        <v>23</v>
      </c>
      <c r="AD34" s="11"/>
      <c r="AE34" s="11"/>
      <c r="AF34" s="11"/>
      <c r="AG34" s="11"/>
      <c r="AH34" s="8"/>
    </row>
    <row r="35" spans="1:3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44">
        <v>-1</v>
      </c>
      <c r="K35" s="44">
        <v>-1</v>
      </c>
      <c r="L35" s="44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  <c r="Z35" s="1" t="b">
        <f t="shared" si="0"/>
        <v>1</v>
      </c>
      <c r="AC35" s="7" t="s">
        <v>24</v>
      </c>
      <c r="AD35" s="11"/>
      <c r="AE35" s="11"/>
      <c r="AF35" s="11"/>
      <c r="AG35" s="11"/>
      <c r="AH35" s="8"/>
    </row>
    <row r="36" spans="1:3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45">
        <v>70.400000000000006</v>
      </c>
      <c r="I36" s="1">
        <v>86.4</v>
      </c>
      <c r="J36" s="44">
        <v>-1</v>
      </c>
      <c r="K36" s="44">
        <v>-1</v>
      </c>
      <c r="L36" s="44">
        <v>-1</v>
      </c>
      <c r="M36" s="1">
        <v>95.6</v>
      </c>
      <c r="N36" s="1">
        <v>142.5</v>
      </c>
      <c r="O36" s="1">
        <v>174.2</v>
      </c>
      <c r="P36" s="1">
        <v>47.3</v>
      </c>
      <c r="Q36" s="45">
        <v>70.400000000000006</v>
      </c>
      <c r="R36" s="1">
        <v>86.4</v>
      </c>
      <c r="S36" s="1">
        <v>142.5</v>
      </c>
      <c r="T36" s="1">
        <v>174.2</v>
      </c>
      <c r="U36" s="45">
        <v>70.400000000000006</v>
      </c>
      <c r="V36" s="1">
        <v>86.4</v>
      </c>
      <c r="W36" s="1">
        <v>86.4</v>
      </c>
      <c r="X36" s="47">
        <v>45179</v>
      </c>
      <c r="Z36" s="1" t="b">
        <f t="shared" si="0"/>
        <v>1</v>
      </c>
      <c r="AC36" s="7" t="s">
        <v>28</v>
      </c>
      <c r="AD36" s="11"/>
      <c r="AE36" s="11"/>
      <c r="AF36" s="11"/>
      <c r="AG36" s="11"/>
      <c r="AH36" s="8"/>
    </row>
    <row r="37" spans="1:3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44">
        <v>-1</v>
      </c>
      <c r="K37" s="44">
        <v>-1</v>
      </c>
      <c r="L37" s="44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  <c r="Z37" s="1" t="b">
        <f t="shared" si="0"/>
        <v>1</v>
      </c>
      <c r="AC37" s="7" t="s">
        <v>57</v>
      </c>
      <c r="AD37" s="11"/>
      <c r="AE37" s="11"/>
      <c r="AF37" s="11"/>
      <c r="AG37" s="11"/>
      <c r="AH37" s="8"/>
    </row>
    <row r="38" spans="1:3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45">
        <v>90.9</v>
      </c>
      <c r="J38" s="44">
        <v>-1</v>
      </c>
      <c r="K38" s="44">
        <v>-1</v>
      </c>
      <c r="L38" s="44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45">
        <v>90.9</v>
      </c>
      <c r="S38" s="1">
        <v>146.80000000000001</v>
      </c>
      <c r="T38" s="1">
        <v>183.5</v>
      </c>
      <c r="U38" s="1">
        <v>72.8</v>
      </c>
      <c r="V38" s="45">
        <v>90.9</v>
      </c>
      <c r="W38" s="45">
        <v>90.9</v>
      </c>
      <c r="X38" s="47">
        <v>45143</v>
      </c>
      <c r="Z38" s="1" t="b">
        <f t="shared" si="0"/>
        <v>1</v>
      </c>
      <c r="AC38" s="7" t="s">
        <v>58</v>
      </c>
      <c r="AD38" s="11"/>
      <c r="AE38" s="11"/>
      <c r="AF38" s="11"/>
      <c r="AG38" s="11"/>
      <c r="AH38" s="8"/>
    </row>
    <row r="39" spans="1:3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45">
        <v>50.6</v>
      </c>
      <c r="H39" s="1">
        <v>75</v>
      </c>
      <c r="I39" s="1">
        <v>93.1</v>
      </c>
      <c r="J39" s="44">
        <v>-1</v>
      </c>
      <c r="K39" s="44">
        <v>-1</v>
      </c>
      <c r="L39" s="44">
        <v>-1</v>
      </c>
      <c r="M39" s="45">
        <v>102.6</v>
      </c>
      <c r="N39" s="1">
        <v>151.5</v>
      </c>
      <c r="O39" s="1">
        <v>188.1</v>
      </c>
      <c r="P39" s="45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  <c r="Z39" s="1" t="b">
        <f t="shared" si="0"/>
        <v>1</v>
      </c>
      <c r="AC39" s="7" t="s">
        <v>31</v>
      </c>
      <c r="AD39" s="11"/>
      <c r="AE39" s="11"/>
      <c r="AF39" s="11"/>
      <c r="AG39" s="11"/>
      <c r="AH39" s="8"/>
    </row>
    <row r="40" spans="1:3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44">
        <v>-1</v>
      </c>
      <c r="K40" s="44">
        <v>-1</v>
      </c>
      <c r="L40" s="44">
        <v>-1</v>
      </c>
      <c r="M40" s="45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  <c r="Z40" s="1" t="b">
        <f t="shared" si="0"/>
        <v>1</v>
      </c>
      <c r="AC40" s="7" t="s">
        <v>32</v>
      </c>
      <c r="AD40" s="11"/>
      <c r="AE40" s="11"/>
      <c r="AF40" s="11"/>
      <c r="AG40" s="11"/>
      <c r="AH40" s="8"/>
    </row>
    <row r="41" spans="1:34" x14ac:dyDescent="0.35">
      <c r="AC41" s="7" t="s">
        <v>34</v>
      </c>
      <c r="AD41" s="11"/>
      <c r="AE41" s="11"/>
      <c r="AF41" s="11"/>
      <c r="AG41" s="11"/>
      <c r="AH41" s="8"/>
    </row>
    <row r="42" spans="1:34" x14ac:dyDescent="0.35">
      <c r="AC42" s="7" t="s">
        <v>37</v>
      </c>
      <c r="AD42" s="11"/>
      <c r="AE42" s="11"/>
      <c r="AF42" s="11"/>
      <c r="AG42" s="11"/>
      <c r="AH42" s="8"/>
    </row>
    <row r="43" spans="1:34" x14ac:dyDescent="0.35">
      <c r="AC43" s="7" t="s">
        <v>39</v>
      </c>
      <c r="AD43" s="11"/>
      <c r="AE43" s="11"/>
      <c r="AF43" s="11"/>
      <c r="AG43" s="11"/>
      <c r="AH43" s="8"/>
    </row>
    <row r="44" spans="1:34" x14ac:dyDescent="0.35">
      <c r="AC44" s="18" t="s">
        <v>82</v>
      </c>
      <c r="AD44" s="30"/>
      <c r="AE44" s="30"/>
      <c r="AF44" s="30"/>
      <c r="AG44" s="30"/>
      <c r="AH44" s="30"/>
    </row>
    <row r="45" spans="1:34" x14ac:dyDescent="0.35">
      <c r="AC45" s="18" t="s">
        <v>83</v>
      </c>
      <c r="AD45" s="30"/>
      <c r="AE45" s="30"/>
      <c r="AF45" s="30"/>
      <c r="AG45" s="30"/>
      <c r="AH45" s="30"/>
    </row>
    <row r="46" spans="1:34" x14ac:dyDescent="0.35">
      <c r="AC46" s="18" t="s">
        <v>84</v>
      </c>
      <c r="AD46" s="30"/>
      <c r="AE46" s="30"/>
      <c r="AF46" s="30"/>
      <c r="AG46" s="30"/>
      <c r="AH46" s="30"/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3" sqref="C13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105</v>
      </c>
      <c r="D5" s="1" t="s">
        <v>178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2"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8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VLOOKUP(A6,Dataset!A$1:W$40,7,FALSE)</f>
        <v>2.7</v>
      </c>
      <c r="C6" s="2">
        <f>VLOOKUP(A6,Dataset!A1:X40,14,0)</f>
        <v>7.6</v>
      </c>
      <c r="D6" s="11">
        <v>4.2</v>
      </c>
      <c r="E6" s="11">
        <f>VLOOKUP(A6,Dataset!A1:X40,20,0)</f>
        <v>8.9</v>
      </c>
      <c r="F6" s="8">
        <f>VLOOKUP(A6,Dataset!A2:X40,22,0)</f>
        <v>4.2</v>
      </c>
    </row>
    <row r="7" spans="1:7" ht="14.5" x14ac:dyDescent="0.35">
      <c r="A7" s="7" t="s">
        <v>4</v>
      </c>
      <c r="B7" s="11">
        <f>VLOOKUP(A7,Dataset!A$1:W41,7,FALSE)</f>
        <v>2.7</v>
      </c>
      <c r="C7" s="2">
        <f>VLOOKUP(A7,Dataset!A2:X41,14,0)</f>
        <v>7.6</v>
      </c>
      <c r="D7" s="11">
        <f>VLOOKUP(Task_2!A7,Dataset!A2:X41,18,0)</f>
        <v>4.2</v>
      </c>
      <c r="E7" s="11">
        <f>VLOOKUP(A7,Dataset!A2:X41,20,0)</f>
        <v>8.9</v>
      </c>
      <c r="F7" s="8">
        <f>VLOOKUP(A7,Dataset!A3:X41,22,0)</f>
        <v>4.2</v>
      </c>
    </row>
    <row r="8" spans="1:7" ht="14.5" x14ac:dyDescent="0.35">
      <c r="A8" s="7" t="s">
        <v>7</v>
      </c>
      <c r="B8" s="11">
        <f>VLOOKUP(A8,Dataset!A$1:W42,7,FALSE)</f>
        <v>3.6</v>
      </c>
      <c r="C8" s="2">
        <f>VLOOKUP(A8,Dataset!A3:X42,14,0)</f>
        <v>11.1</v>
      </c>
      <c r="D8" s="11">
        <f>VLOOKUP(Task_2!A8,Dataset!A3:X42,18,0)</f>
        <v>5.8</v>
      </c>
      <c r="E8" s="11">
        <f>VLOOKUP(A8,Dataset!A3:X42,20,0)</f>
        <v>12.2</v>
      </c>
      <c r="F8" s="8">
        <f>VLOOKUP(A8,Dataset!A4:X42,22,0)</f>
        <v>5.8</v>
      </c>
    </row>
    <row r="9" spans="1:7" ht="14.5" x14ac:dyDescent="0.35">
      <c r="A9" s="7" t="s">
        <v>8</v>
      </c>
      <c r="B9" s="11">
        <f>VLOOKUP(A9,Dataset!A$1:W43,7,FALSE)</f>
        <v>4.9000000000000004</v>
      </c>
      <c r="C9" s="2">
        <f>VLOOKUP(A9,Dataset!A4:X43,14,0)</f>
        <v>13.3</v>
      </c>
      <c r="D9" s="11">
        <f>VLOOKUP(Task_2!A9,Dataset!A4:X43,18,0)</f>
        <v>8.1</v>
      </c>
      <c r="E9" s="11">
        <f>VLOOKUP(A9,Dataset!A4:X43,20,0)</f>
        <v>17</v>
      </c>
      <c r="F9" s="8">
        <f>VLOOKUP(A9,Dataset!A5:X43,22,0)</f>
        <v>8.1</v>
      </c>
    </row>
    <row r="10" spans="1:7" ht="14.5" x14ac:dyDescent="0.35">
      <c r="A10" s="7" t="s">
        <v>11</v>
      </c>
      <c r="B10" s="11">
        <f>VLOOKUP(A10,Dataset!A$1:W44,7,FALSE)</f>
        <v>9.4</v>
      </c>
      <c r="C10" s="2">
        <f>VLOOKUP(A10,Dataset!A5:X44,14,0)</f>
        <v>28.3</v>
      </c>
      <c r="D10" s="11">
        <f>VLOOKUP(Task_2!A10,Dataset!A5:X44,18,0)</f>
        <v>16.100000000000001</v>
      </c>
      <c r="E10" s="11">
        <f>VLOOKUP(A10,Dataset!A5:X44,20,0)</f>
        <v>32.799999999999997</v>
      </c>
      <c r="F10" s="8">
        <f>VLOOKUP(A10,Dataset!A6:X44,22,0)</f>
        <v>16.100000000000001</v>
      </c>
    </row>
    <row r="11" spans="1:7" ht="14.5" x14ac:dyDescent="0.35">
      <c r="A11" s="7" t="s">
        <v>12</v>
      </c>
      <c r="B11" s="11">
        <f>VLOOKUP(A11,Dataset!A$1:W45,7,FALSE)</f>
        <v>11.6</v>
      </c>
      <c r="C11" s="2">
        <f>VLOOKUP(A11,Dataset!A6:X45,14,0)</f>
        <v>35.200000000000003</v>
      </c>
      <c r="D11" s="11">
        <f>VLOOKUP(Task_2!A11,Dataset!A6:X45,18,0)</f>
        <v>21.3</v>
      </c>
      <c r="E11" s="11">
        <f>VLOOKUP(A11,Dataset!A6:X45,20,0)</f>
        <v>43</v>
      </c>
      <c r="F11" s="8">
        <f>VLOOKUP(A11,Dataset!A7:X45,22,0)</f>
        <v>21.3</v>
      </c>
    </row>
    <row r="12" spans="1:7" ht="14.5" x14ac:dyDescent="0.35">
      <c r="A12" s="7" t="s">
        <v>14</v>
      </c>
      <c r="B12" s="11">
        <f>VLOOKUP(A12,Dataset!A$1:W46,7,FALSE)</f>
        <v>18.399999999999999</v>
      </c>
      <c r="C12" s="2">
        <f>VLOOKUP(A12,Dataset!A7:X46,14,0)</f>
        <v>55.6</v>
      </c>
      <c r="D12" s="11">
        <f>VLOOKUP(Task_2!A12,Dataset!A7:X46,18,0)</f>
        <v>33.799999999999997</v>
      </c>
      <c r="E12" s="11">
        <f>VLOOKUP(A12,Dataset!A7:X46,20,0)</f>
        <v>67.900000000000006</v>
      </c>
      <c r="F12" s="8">
        <f>VLOOKUP(A12,Dataset!A8:X46,22,0)</f>
        <v>33.799999999999997</v>
      </c>
    </row>
    <row r="13" spans="1:7" ht="14.5" x14ac:dyDescent="0.35">
      <c r="A13" s="7" t="s">
        <v>15</v>
      </c>
      <c r="B13" s="11">
        <f>VLOOKUP(A13,Dataset!A$1:W47,7,FALSE)</f>
        <v>0</v>
      </c>
      <c r="C13" s="2">
        <f>VLOOKUP(A13,Dataset!A8:X47,14,0)</f>
        <v>0</v>
      </c>
      <c r="D13" s="11">
        <f>VLOOKUP(Task_2!A13,Dataset!A8:X47,18,0)</f>
        <v>0</v>
      </c>
      <c r="E13" s="11">
        <f>VLOOKUP(A13,Dataset!A8:X47,20,0)</f>
        <v>0</v>
      </c>
      <c r="F13" s="8">
        <f>VLOOKUP(A13,Dataset!A9:X47,22,0)</f>
        <v>0</v>
      </c>
    </row>
    <row r="14" spans="1:7" ht="14.5" x14ac:dyDescent="0.35">
      <c r="A14" s="7" t="s">
        <v>16</v>
      </c>
      <c r="B14" s="11">
        <f>VLOOKUP(A14,Dataset!A$1:W48,7,FALSE)</f>
        <v>21.9</v>
      </c>
      <c r="C14" s="2">
        <f>VLOOKUP(A14,Dataset!A9:X48,14,0)</f>
        <v>61.5</v>
      </c>
      <c r="D14" s="11">
        <f>VLOOKUP(Task_2!A14,Dataset!A9:X48,18,0)</f>
        <v>40.1</v>
      </c>
      <c r="E14" s="11">
        <f>VLOOKUP(A14,Dataset!A9:X48,20,0)</f>
        <v>76.599999999999994</v>
      </c>
      <c r="F14" s="8">
        <f>VLOOKUP(A14,Dataset!A10:X48,22,0)</f>
        <v>40.1</v>
      </c>
    </row>
    <row r="15" spans="1:7" ht="14.5" x14ac:dyDescent="0.35">
      <c r="A15" s="7" t="s">
        <v>18</v>
      </c>
      <c r="B15" s="11">
        <f>VLOOKUP(A15,Dataset!A$1:W49,7,FALSE)</f>
        <v>26.8</v>
      </c>
      <c r="C15" s="2">
        <f>VLOOKUP(A15,Dataset!A10:X49,14,0)</f>
        <v>79.599999999999994</v>
      </c>
      <c r="D15" s="11">
        <f>VLOOKUP(Task_2!A15,Dataset!A10:X49,18,0)</f>
        <v>47.9</v>
      </c>
      <c r="E15" s="11">
        <f>VLOOKUP(A15,Dataset!A10:X49,20,0)</f>
        <v>96.8</v>
      </c>
      <c r="F15" s="8">
        <f>VLOOKUP(A15,Dataset!A11:X49,22,0)</f>
        <v>47.9</v>
      </c>
    </row>
    <row r="16" spans="1:7" ht="14.5" x14ac:dyDescent="0.35">
      <c r="A16" s="7" t="s">
        <v>20</v>
      </c>
      <c r="B16" s="11">
        <f>VLOOKUP(A16,Dataset!A$1:W50,7,FALSE)</f>
        <v>28.5</v>
      </c>
      <c r="C16" s="2">
        <f>VLOOKUP(A16,Dataset!A11:X50,14,0)</f>
        <v>85.4</v>
      </c>
      <c r="D16" s="11">
        <f>VLOOKUP(Task_2!A16,Dataset!A11:X50,18,0)</f>
        <v>52.3</v>
      </c>
      <c r="E16" s="11">
        <f>VLOOKUP(A16,Dataset!A11:X50,20,0)</f>
        <v>106.1</v>
      </c>
      <c r="F16" s="8">
        <f>VLOOKUP(A16,Dataset!A12:X50,22,0)</f>
        <v>52.3</v>
      </c>
    </row>
    <row r="17" spans="1:6" ht="14.5" x14ac:dyDescent="0.35">
      <c r="A17" s="7" t="s">
        <v>22</v>
      </c>
      <c r="B17" s="11">
        <f>VLOOKUP(A17,Dataset!A$1:W51,7,FALSE)</f>
        <v>30.7</v>
      </c>
      <c r="C17" s="2">
        <f>VLOOKUP(A17,Dataset!A12:X51,14,0)</f>
        <v>92.1</v>
      </c>
      <c r="D17" s="11">
        <f>VLOOKUP(Task_2!A17,Dataset!A12:X51,18,0)</f>
        <v>57</v>
      </c>
      <c r="E17" s="11">
        <f>VLOOKUP(A17,Dataset!A12:X51,20,0)</f>
        <v>115.1</v>
      </c>
      <c r="F17" s="8">
        <f>VLOOKUP(A17,Dataset!A13:X51,22,0)</f>
        <v>57</v>
      </c>
    </row>
    <row r="18" spans="1:6" ht="14.5" x14ac:dyDescent="0.35">
      <c r="A18" s="7" t="s">
        <v>23</v>
      </c>
      <c r="B18" s="11">
        <f>VLOOKUP(A18,Dataset!A$1:W52,7,FALSE)</f>
        <v>33.799999999999997</v>
      </c>
      <c r="C18" s="2">
        <f>VLOOKUP(A18,Dataset!A13:X52,14,0)</f>
        <v>101.3</v>
      </c>
      <c r="D18" s="11">
        <f>VLOOKUP(Task_2!A18,Dataset!A13:X52,18,0)</f>
        <v>61.4</v>
      </c>
      <c r="E18" s="11">
        <f>VLOOKUP(A18,Dataset!A13:X52,20,0)</f>
        <v>124.4</v>
      </c>
      <c r="F18" s="8">
        <f>VLOOKUP(A18,Dataset!A14:X52,22,0)</f>
        <v>61.4</v>
      </c>
    </row>
    <row r="19" spans="1:6" ht="14.5" x14ac:dyDescent="0.35">
      <c r="A19" s="7" t="s">
        <v>24</v>
      </c>
      <c r="B19" s="11">
        <f>VLOOKUP(A19,Dataset!A$1:W53,7,FALSE)</f>
        <v>34.700000000000003</v>
      </c>
      <c r="C19" s="2">
        <f>VLOOKUP(A19,Dataset!A14:X53,14,0)</f>
        <v>106.1</v>
      </c>
      <c r="D19" s="11">
        <f>VLOOKUP(Task_2!A19,Dataset!A14:X53,18,0)</f>
        <v>63.6</v>
      </c>
      <c r="E19" s="11">
        <f>VLOOKUP(A19,Dataset!A14:X53,20,0)</f>
        <v>128.6</v>
      </c>
      <c r="F19" s="8">
        <f>VLOOKUP(A19,Dataset!A15:X53,22,0)</f>
        <v>63.6</v>
      </c>
    </row>
    <row r="20" spans="1:6" ht="14.5" x14ac:dyDescent="0.35">
      <c r="A20" s="7" t="s">
        <v>28</v>
      </c>
      <c r="B20" s="11">
        <f>VLOOKUP(A20,Dataset!A$1:W54,7,FALSE)</f>
        <v>0</v>
      </c>
      <c r="C20" s="2">
        <f>VLOOKUP(A20,Dataset!A15:X54,14,0)</f>
        <v>0</v>
      </c>
      <c r="D20" s="11">
        <f>VLOOKUP(Task_2!A20,Dataset!A15:X54,18,0)</f>
        <v>0</v>
      </c>
      <c r="E20" s="11">
        <f>VLOOKUP(A20,Dataset!A15:X54,20,0)</f>
        <v>0</v>
      </c>
      <c r="F20" s="8">
        <f>VLOOKUP(A20,Dataset!A16:X54,22,0)</f>
        <v>0</v>
      </c>
    </row>
    <row r="21" spans="1:6" ht="14.5" x14ac:dyDescent="0.35">
      <c r="A21" s="7" t="s">
        <v>57</v>
      </c>
      <c r="B21" s="11">
        <f>VLOOKUP(A21,Dataset!A$1:W55,7,FALSE)</f>
        <v>41.3</v>
      </c>
      <c r="C21" s="2">
        <f>VLOOKUP(A21,Dataset!A16:X55,14,0)</f>
        <v>124.4</v>
      </c>
      <c r="D21" s="11">
        <f>VLOOKUP(Task_2!A21,Dataset!A16:X55,18,0)</f>
        <v>75</v>
      </c>
      <c r="E21" s="11">
        <f>VLOOKUP(A21,Dataset!A16:X55,20,0)</f>
        <v>151.5</v>
      </c>
      <c r="F21" s="8">
        <f>VLOOKUP(A21,Dataset!A17:X55,22,0)</f>
        <v>75</v>
      </c>
    </row>
    <row r="22" spans="1:6" ht="14.5" x14ac:dyDescent="0.35">
      <c r="A22" s="7" t="s">
        <v>58</v>
      </c>
      <c r="B22" s="11">
        <f>VLOOKUP(A22,Dataset!A$1:W56,7,FALSE)</f>
        <v>-1</v>
      </c>
      <c r="C22" s="2">
        <f>VLOOKUP(A22,Dataset!A17:X56,14,0)</f>
        <v>-1</v>
      </c>
      <c r="D22" s="11">
        <f>VLOOKUP(Task_2!A22,Dataset!A17:X56,18,0)</f>
        <v>-1</v>
      </c>
      <c r="E22" s="11">
        <f>VLOOKUP(A22,Dataset!A17:X56,20,0)</f>
        <v>-1</v>
      </c>
      <c r="F22" s="8">
        <f>VLOOKUP(A22,Dataset!A18:X56,22,0)</f>
        <v>-1</v>
      </c>
    </row>
    <row r="23" spans="1:6" ht="14.5" x14ac:dyDescent="0.35">
      <c r="A23" s="7" t="s">
        <v>31</v>
      </c>
      <c r="B23" s="11">
        <f>VLOOKUP(A23,Dataset!A$1:W57,7,FALSE)</f>
        <v>45</v>
      </c>
      <c r="C23" s="2">
        <f>VLOOKUP(A23,Dataset!A18:X57,14,0)</f>
        <v>133.4</v>
      </c>
      <c r="D23" s="11">
        <f>VLOOKUP(Task_2!A23,Dataset!A18:X57,18,0)</f>
        <v>79.400000000000006</v>
      </c>
      <c r="E23" s="11">
        <f>VLOOKUP(A23,Dataset!A18:X57,20,0)</f>
        <v>160.9</v>
      </c>
      <c r="F23" s="8">
        <f>VLOOKUP(A23,Dataset!A19:X57,22,0)</f>
        <v>79.400000000000006</v>
      </c>
    </row>
    <row r="24" spans="1:6" ht="14.5" x14ac:dyDescent="0.35">
      <c r="A24" s="7" t="s">
        <v>32</v>
      </c>
      <c r="B24" s="11">
        <f>VLOOKUP(A24,Dataset!A$1:W58,7,FALSE)</f>
        <v>-1</v>
      </c>
      <c r="C24" s="2">
        <f>VLOOKUP(A24,Dataset!A19:X58,14,0)</f>
        <v>-1</v>
      </c>
      <c r="D24" s="11">
        <f>VLOOKUP(Task_2!A24,Dataset!A19:X58,18,0)</f>
        <v>-1</v>
      </c>
      <c r="E24" s="11">
        <f>VLOOKUP(A24,Dataset!A19:X58,20,0)</f>
        <v>-1</v>
      </c>
      <c r="F24" s="8">
        <f>VLOOKUP(A24,Dataset!A20:X58,22,0)</f>
        <v>-1</v>
      </c>
    </row>
    <row r="25" spans="1:6" ht="14.5" x14ac:dyDescent="0.35">
      <c r="A25" s="7" t="s">
        <v>34</v>
      </c>
      <c r="B25" s="11">
        <f>VLOOKUP(A25,Dataset!A$1:W59,7,FALSE)</f>
        <v>43.3</v>
      </c>
      <c r="C25" s="2">
        <f>VLOOKUP(A25,Dataset!A20:X59,14,0)</f>
        <v>128.6</v>
      </c>
      <c r="D25" s="11">
        <f>VLOOKUP(Task_2!A25,Dataset!A20:X59,18,0)</f>
        <v>79.400000000000006</v>
      </c>
      <c r="E25" s="11">
        <f>VLOOKUP(A25,Dataset!A20:X59,20,0)</f>
        <v>160.9</v>
      </c>
      <c r="F25" s="8">
        <f>VLOOKUP(A25,Dataset!A21:X59,22,0)</f>
        <v>79.400000000000006</v>
      </c>
    </row>
    <row r="26" spans="1:6" ht="14.5" x14ac:dyDescent="0.35">
      <c r="A26" s="7" t="s">
        <v>37</v>
      </c>
      <c r="B26" s="11">
        <f>VLOOKUP(A26,Dataset!A$1:W60,7,FALSE)</f>
        <v>49.1</v>
      </c>
      <c r="C26" s="2">
        <f>VLOOKUP(A26,Dataset!A21:X60,14,0)</f>
        <v>146.80000000000001</v>
      </c>
      <c r="D26" s="11">
        <f>VLOOKUP(Task_2!A26,Dataset!A21:X60,18,0)</f>
        <v>90.9</v>
      </c>
      <c r="E26" s="11">
        <f>VLOOKUP(A26,Dataset!A21:X60,20,0)</f>
        <v>183.5</v>
      </c>
      <c r="F26" s="8">
        <f>VLOOKUP(A26,Dataset!A22:X60,22,0)</f>
        <v>90.9</v>
      </c>
    </row>
    <row r="27" spans="1:6" ht="14.5" x14ac:dyDescent="0.35">
      <c r="A27" s="7" t="s">
        <v>39</v>
      </c>
      <c r="B27" s="11">
        <f>VLOOKUP(A27,Dataset!A$1:W61,7,FALSE)</f>
        <v>51.8</v>
      </c>
      <c r="C27" s="2">
        <f>VLOOKUP(A27,Dataset!A22:X61,14,0)</f>
        <v>156.4</v>
      </c>
      <c r="D27" s="11">
        <f>VLOOKUP(Task_2!A27,Dataset!A22:X61,18,0)</f>
        <v>93.1</v>
      </c>
      <c r="E27" s="11">
        <f>VLOOKUP(A27,Dataset!A22:X61,20,0)</f>
        <v>188.1</v>
      </c>
      <c r="F27" s="8">
        <f>VLOOKUP(A27,Dataset!A23:X61,22,0)</f>
        <v>93.1</v>
      </c>
    </row>
    <row r="28" spans="1:6" ht="14.5" x14ac:dyDescent="0.35">
      <c r="A28" s="18" t="s">
        <v>82</v>
      </c>
      <c r="B28" s="11">
        <f>MIN(B6:B27)</f>
        <v>-1</v>
      </c>
      <c r="C28" s="2">
        <f>MIN(C6:C27)</f>
        <v>-1</v>
      </c>
      <c r="D28" s="11">
        <f>MIN(D6:D27)</f>
        <v>-1</v>
      </c>
      <c r="E28" s="11">
        <f>MIN(E6:E27)</f>
        <v>-1</v>
      </c>
      <c r="F28" s="8">
        <f>MIN(F6:F27)</f>
        <v>-1</v>
      </c>
    </row>
    <row r="29" spans="1:6" ht="14.5" x14ac:dyDescent="0.35">
      <c r="A29" s="18" t="s">
        <v>83</v>
      </c>
      <c r="B29" s="11">
        <f>MAX(B6:B27)</f>
        <v>51.8</v>
      </c>
      <c r="C29" s="2">
        <f>MAX(C6:C27)</f>
        <v>156.4</v>
      </c>
      <c r="D29" s="11">
        <f>MAX(D6:D27)</f>
        <v>93.1</v>
      </c>
      <c r="E29" s="11">
        <f>MAX(E6:E27)</f>
        <v>188.1</v>
      </c>
      <c r="F29" s="8">
        <f>MAX(F6:F27)</f>
        <v>93.1</v>
      </c>
    </row>
    <row r="30" spans="1:6" ht="14.5" x14ac:dyDescent="0.35">
      <c r="A30" s="18" t="s">
        <v>84</v>
      </c>
      <c r="B30" s="11">
        <f>AVERAGE(B6:B27)</f>
        <v>20.827272727272728</v>
      </c>
      <c r="C30" s="2">
        <f>AVERAGE(C6:C27)</f>
        <v>62.377272727272725</v>
      </c>
      <c r="D30" s="11">
        <f>AVERAGE(D6:D27)</f>
        <v>37.800000000000004</v>
      </c>
      <c r="E30" s="11">
        <f>AVERAGE(E6:E27)</f>
        <v>76.418181818181822</v>
      </c>
      <c r="F30" s="30">
        <f>AVERAGE(F6:F29)</f>
        <v>38.487500000000004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4" zoomScaleNormal="100" workbookViewId="0">
      <selection activeCell="A17" sqref="A17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180</v>
      </c>
    </row>
    <row r="6" spans="1:10" ht="18.5" x14ac:dyDescent="0.45">
      <c r="A6" s="42" t="s">
        <v>153</v>
      </c>
      <c r="B6" s="39" t="s">
        <v>181</v>
      </c>
    </row>
    <row r="7" spans="1:10" ht="18.5" x14ac:dyDescent="0.45">
      <c r="A7" s="42"/>
      <c r="B7" s="39" t="s">
        <v>182</v>
      </c>
    </row>
    <row r="8" spans="1:10" x14ac:dyDescent="0.35">
      <c r="B8" s="1" t="s">
        <v>183</v>
      </c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  <c r="H16" s="1" t="s">
        <v>179</v>
      </c>
    </row>
    <row r="17" spans="1:6" x14ac:dyDescent="0.3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11">
        <v>21000</v>
      </c>
      <c r="C46" s="1" t="s">
        <v>5</v>
      </c>
      <c r="D46" s="11">
        <v>1</v>
      </c>
      <c r="E46" s="1" t="s">
        <v>6</v>
      </c>
      <c r="F46" s="11">
        <v>24</v>
      </c>
    </row>
    <row r="47" spans="1:6" x14ac:dyDescent="0.35">
      <c r="A47" s="7" t="s">
        <v>113</v>
      </c>
      <c r="B47" s="11">
        <v>21002</v>
      </c>
      <c r="C47" s="1" t="s">
        <v>5</v>
      </c>
      <c r="D47" s="11">
        <v>1</v>
      </c>
      <c r="E47" s="1" t="s">
        <v>6</v>
      </c>
      <c r="F47" s="11">
        <v>24</v>
      </c>
    </row>
    <row r="48" spans="1:6" x14ac:dyDescent="0.35">
      <c r="A48" s="7" t="s">
        <v>114</v>
      </c>
      <c r="B48" s="11">
        <v>21004</v>
      </c>
      <c r="C48" s="1" t="s">
        <v>5</v>
      </c>
      <c r="D48" s="11">
        <v>1</v>
      </c>
      <c r="E48" s="1" t="s">
        <v>6</v>
      </c>
      <c r="F48" s="11">
        <v>24</v>
      </c>
    </row>
    <row r="49" spans="1:6" x14ac:dyDescent="0.35">
      <c r="A49" s="7" t="s">
        <v>115</v>
      </c>
      <c r="B49" s="11">
        <v>21006</v>
      </c>
      <c r="C49" s="1" t="s">
        <v>5</v>
      </c>
      <c r="D49" s="11">
        <v>1</v>
      </c>
      <c r="E49" s="1" t="s">
        <v>6</v>
      </c>
      <c r="F49" s="11">
        <v>24</v>
      </c>
    </row>
    <row r="50" spans="1:6" x14ac:dyDescent="0.35">
      <c r="A50" s="7" t="s">
        <v>116</v>
      </c>
      <c r="B50" s="11">
        <v>21008</v>
      </c>
      <c r="C50" s="1" t="s">
        <v>5</v>
      </c>
      <c r="D50" s="11">
        <v>1</v>
      </c>
      <c r="E50" s="1" t="s">
        <v>6</v>
      </c>
      <c r="F50" s="11">
        <v>24</v>
      </c>
    </row>
    <row r="51" spans="1:6" x14ac:dyDescent="0.35">
      <c r="A51" s="7" t="s">
        <v>117</v>
      </c>
      <c r="B51" s="11">
        <v>21010</v>
      </c>
      <c r="C51" s="1" t="s">
        <v>5</v>
      </c>
      <c r="D51" s="11">
        <v>1</v>
      </c>
      <c r="E51" s="1" t="s">
        <v>6</v>
      </c>
      <c r="F51" s="11">
        <v>24</v>
      </c>
    </row>
    <row r="52" spans="1:6" x14ac:dyDescent="0.35">
      <c r="A52" s="7" t="s">
        <v>118</v>
      </c>
      <c r="B52" s="11">
        <v>21012</v>
      </c>
      <c r="C52" s="1" t="s">
        <v>5</v>
      </c>
      <c r="D52" s="11">
        <v>1</v>
      </c>
      <c r="E52" s="1" t="s">
        <v>6</v>
      </c>
      <c r="F52" s="11">
        <v>24</v>
      </c>
    </row>
    <row r="53" spans="1:6" x14ac:dyDescent="0.35">
      <c r="A53" s="7" t="s">
        <v>119</v>
      </c>
      <c r="B53" s="11">
        <v>21014</v>
      </c>
      <c r="C53" s="1" t="s">
        <v>5</v>
      </c>
      <c r="D53" s="11">
        <v>1</v>
      </c>
      <c r="E53" s="1" t="s">
        <v>6</v>
      </c>
      <c r="F53" s="11">
        <v>24</v>
      </c>
    </row>
    <row r="54" spans="1:6" x14ac:dyDescent="0.35">
      <c r="A54" s="9" t="s">
        <v>120</v>
      </c>
      <c r="B54" s="12">
        <v>21016</v>
      </c>
      <c r="C54" s="1" t="s">
        <v>5</v>
      </c>
      <c r="D54" s="12">
        <v>1</v>
      </c>
      <c r="E54" s="1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184</v>
      </c>
    </row>
    <row r="7" spans="1:3" ht="14.5" x14ac:dyDescent="0.35">
      <c r="A7" s="3" t="s">
        <v>153</v>
      </c>
      <c r="B7" s="1" t="s">
        <v>185</v>
      </c>
    </row>
    <row r="8" spans="1:3" x14ac:dyDescent="0.3">
      <c r="B8" s="2" t="s">
        <v>186</v>
      </c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>
        <v>20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>
        <v>20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>
        <v>20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>
        <v>20</v>
      </c>
    </row>
    <row r="22" spans="1:3" ht="14.5" x14ac:dyDescent="0.3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1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 t="str">
        <f>VLOOKUP(B23,M$9:N$18,2,FALSE)</f>
        <v>B</v>
      </c>
    </row>
    <row r="24" spans="1:14" ht="14.5" x14ac:dyDescent="0.35">
      <c r="A24" s="7">
        <v>10100</v>
      </c>
      <c r="B24" s="11">
        <v>10104</v>
      </c>
      <c r="C24" s="43" t="str">
        <f t="shared" ref="C24:C35" si="0">VLOOKUP(B24,M$9:N$18,2,FALSE)</f>
        <v>C</v>
      </c>
    </row>
    <row r="25" spans="1:14" ht="14.5" x14ac:dyDescent="0.35">
      <c r="A25" s="7">
        <v>10108</v>
      </c>
      <c r="B25" s="11">
        <v>10102</v>
      </c>
      <c r="C25" s="43" t="str">
        <f>VLOOKUP(B25,M$9:N$18,2,FALSE)</f>
        <v>B</v>
      </c>
    </row>
    <row r="26" spans="1:14" ht="14.5" x14ac:dyDescent="0.35">
      <c r="A26" s="7">
        <v>10100</v>
      </c>
      <c r="B26" s="11">
        <v>10106</v>
      </c>
      <c r="C26" s="43" t="str">
        <f t="shared" si="0"/>
        <v>D</v>
      </c>
    </row>
    <row r="27" spans="1:14" ht="14.5" x14ac:dyDescent="0.35">
      <c r="A27" s="7">
        <v>10108</v>
      </c>
      <c r="B27" s="11">
        <v>10110</v>
      </c>
      <c r="C27" s="43" t="str">
        <f t="shared" si="0"/>
        <v>F</v>
      </c>
    </row>
    <row r="28" spans="1:14" ht="14.5" x14ac:dyDescent="0.35">
      <c r="A28" s="7">
        <v>10102</v>
      </c>
      <c r="B28" s="11">
        <v>10104</v>
      </c>
      <c r="C28" s="43" t="str">
        <f t="shared" si="0"/>
        <v>C</v>
      </c>
    </row>
    <row r="29" spans="1:14" ht="14.5" x14ac:dyDescent="0.35">
      <c r="A29" s="7">
        <v>10106</v>
      </c>
      <c r="B29" s="11">
        <v>10108</v>
      </c>
      <c r="C29" s="43" t="str">
        <f t="shared" si="0"/>
        <v>E</v>
      </c>
    </row>
    <row r="30" spans="1:14" ht="14.5" x14ac:dyDescent="0.35">
      <c r="A30" s="7">
        <v>10102</v>
      </c>
      <c r="B30" s="11">
        <v>10106</v>
      </c>
      <c r="C30" s="43" t="str">
        <f t="shared" si="0"/>
        <v>D</v>
      </c>
    </row>
    <row r="31" spans="1:14" ht="14.5" x14ac:dyDescent="0.35">
      <c r="A31" s="7">
        <v>10110</v>
      </c>
      <c r="B31" s="11">
        <v>10114</v>
      </c>
      <c r="C31" s="43" t="str">
        <f t="shared" si="0"/>
        <v>H</v>
      </c>
    </row>
    <row r="32" spans="1:14" ht="14.5" x14ac:dyDescent="0.35">
      <c r="A32" s="7">
        <v>10104</v>
      </c>
      <c r="B32" s="11">
        <v>10106</v>
      </c>
      <c r="C32" s="43" t="str">
        <f t="shared" si="0"/>
        <v>D</v>
      </c>
    </row>
    <row r="33" spans="1:3" ht="14.5" x14ac:dyDescent="0.35">
      <c r="A33" s="7">
        <v>10110</v>
      </c>
      <c r="B33" s="11">
        <v>10112</v>
      </c>
      <c r="C33" s="43" t="str">
        <f t="shared" si="0"/>
        <v>G</v>
      </c>
    </row>
    <row r="34" spans="1:3" ht="14.5" x14ac:dyDescent="0.35">
      <c r="A34" s="7">
        <v>10100</v>
      </c>
      <c r="B34" s="11">
        <v>10114</v>
      </c>
      <c r="C34" s="43" t="str">
        <f t="shared" si="0"/>
        <v>H</v>
      </c>
    </row>
    <row r="35" spans="1:3" ht="14.5" x14ac:dyDescent="0.35">
      <c r="A35" s="9">
        <v>10112</v>
      </c>
      <c r="B35" s="12">
        <v>10116</v>
      </c>
      <c r="C35" s="43" t="str">
        <f t="shared" si="0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arun j math</cp:lastModifiedBy>
  <dcterms:created xsi:type="dcterms:W3CDTF">2015-02-10T17:33:11Z</dcterms:created>
  <dcterms:modified xsi:type="dcterms:W3CDTF">2024-10-24T15:13:24Z</dcterms:modified>
</cp:coreProperties>
</file>